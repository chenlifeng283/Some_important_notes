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935" windowHeight="7785" activeTab="1"/>
  </bookViews>
  <sheets>
    <sheet name="名称管理器" sheetId="5" r:id="rId1"/>
    <sheet name="目录" sheetId="2" r:id="rId2"/>
    <sheet name="表1" sheetId="1" r:id="rId3"/>
  </sheets>
  <definedNames>
    <definedName name="工程分类">名称管理器!$C$3:$Y$3</definedName>
    <definedName name="月份">名称管理器!$C$4:$Y$4</definedName>
    <definedName name="名称4">名称管理器!$C$6:$Y$6</definedName>
    <definedName name="名称5">名称管理器!$C$7:$Y$7</definedName>
    <definedName name="名称6">名称管理器!$C$8:$Y$8</definedName>
    <definedName name="名称7">名称管理器!$C$9:$Y$9</definedName>
    <definedName name="名称8">名称管理器!$C$10:$Y$10</definedName>
    <definedName name="名称9">名称管理器!$C$11:$Y$11</definedName>
    <definedName name="名称10">名称管理器!$C$12:$Y$12</definedName>
    <definedName name="名称11">名称管理器!$C$13:$Y$13</definedName>
    <definedName name="名称12">名称管理器!$C$14:$Y$14</definedName>
    <definedName name="名称13">名称管理器!$C$15:$Y$15</definedName>
    <definedName name="名称14">名称管理器!$C$16:$Y$16</definedName>
    <definedName name="材料分类">名称管理器!$C$5:$Y$5</definedName>
  </definedNames>
  <calcPr calcId="144525"/>
</workbook>
</file>

<file path=xl/comments1.xml><?xml version="1.0" encoding="utf-8"?>
<comments xmlns="http://schemas.openxmlformats.org/spreadsheetml/2006/main">
  <authors>
    <author>陈利锋</author>
  </authors>
  <commentList>
    <comment ref="B2" authorId="0">
      <text>
        <r>
          <rPr>
            <sz val="9"/>
            <rFont val="宋体"/>
            <charset val="134"/>
          </rPr>
          <t>可添加到</t>
        </r>
        <r>
          <rPr>
            <b/>
            <sz val="9"/>
            <rFont val="宋体"/>
            <charset val="134"/>
          </rPr>
          <t>Y列</t>
        </r>
        <r>
          <rPr>
            <sz val="9"/>
            <rFont val="宋体"/>
            <charset val="134"/>
          </rPr>
          <t>为止，以后不显示，要重新设置。</t>
        </r>
      </text>
    </comment>
  </commentList>
</comments>
</file>

<file path=xl/comments2.xml><?xml version="1.0" encoding="utf-8"?>
<comments xmlns="http://schemas.openxmlformats.org/spreadsheetml/2006/main">
  <authors>
    <author>陈利锋</author>
  </authors>
  <commentList>
    <comment ref="T2" authorId="0">
      <text>
        <r>
          <rPr>
            <sz val="9"/>
            <rFont val="宋体"/>
            <charset val="134"/>
          </rPr>
          <t>E列输入了”材料分类“就能统计到。</t>
        </r>
      </text>
    </comment>
    <comment ref="E3" authorId="0">
      <text>
        <r>
          <rPr>
            <sz val="9"/>
            <rFont val="宋体"/>
            <charset val="134"/>
          </rPr>
          <t>三大类：
1、结构材料
2、装饰材料
3、专用材料</t>
        </r>
      </text>
    </comment>
  </commentList>
</comments>
</file>

<file path=xl/sharedStrings.xml><?xml version="1.0" encoding="utf-8"?>
<sst xmlns="http://schemas.openxmlformats.org/spreadsheetml/2006/main" count="83">
  <si>
    <t>组号</t>
  </si>
  <si>
    <t>名称</t>
  </si>
  <si>
    <t>工程分类</t>
  </si>
  <si>
    <t>本地新工程</t>
  </si>
  <si>
    <t>本地老工程</t>
  </si>
  <si>
    <t>外地新工程</t>
  </si>
  <si>
    <t>外地老工程</t>
  </si>
  <si>
    <t>月份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</si>
  <si>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</si>
  <si>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</si>
  <si>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</si>
  <si>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</si>
  <si>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</si>
  <si>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</si>
  <si>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</si>
  <si>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</si>
  <si>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</si>
  <si>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</si>
  <si>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</si>
  <si>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</si>
  <si>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材料分类</t>
  </si>
  <si>
    <t>木材</t>
  </si>
  <si>
    <t>石材</t>
  </si>
  <si>
    <t>水泥</t>
  </si>
  <si>
    <t>混凝土</t>
  </si>
  <si>
    <t>金属</t>
  </si>
  <si>
    <t>砖瓦</t>
  </si>
  <si>
    <t>工程塑料</t>
  </si>
  <si>
    <t>涂料</t>
  </si>
  <si>
    <t>油漆</t>
  </si>
  <si>
    <t>各色瓷砖</t>
  </si>
  <si>
    <t>专用材料</t>
  </si>
  <si>
    <t>水</t>
  </si>
  <si>
    <t>电</t>
  </si>
  <si>
    <t>苗木</t>
  </si>
  <si>
    <t>汽柴油</t>
  </si>
  <si>
    <t>劳务</t>
  </si>
  <si>
    <t>其他</t>
  </si>
  <si>
    <t>名称4</t>
  </si>
  <si>
    <t>名称5</t>
  </si>
  <si>
    <t>名称6</t>
  </si>
  <si>
    <t>名称7</t>
  </si>
  <si>
    <t>名称8</t>
  </si>
  <si>
    <t>名称9</t>
  </si>
  <si>
    <t>名称10</t>
  </si>
  <si>
    <t>名称11</t>
  </si>
  <si>
    <t>名称12</t>
  </si>
  <si>
    <t>名称13</t>
  </si>
  <si>
    <t>名称14</t>
  </si>
  <si>
    <t>序号</t>
  </si>
  <si>
    <t>工程名称</t>
  </si>
  <si>
    <t>合同金额</t>
  </si>
  <si>
    <t>项目承包人</t>
  </si>
  <si>
    <t>开票金额(不含税）</t>
  </si>
  <si>
    <t>销项税</t>
  </si>
  <si>
    <t>材料发票金额（含税）</t>
  </si>
  <si>
    <t>进项税</t>
  </si>
  <si>
    <t>付供应商</t>
  </si>
  <si>
    <t>应交增值税</t>
  </si>
  <si>
    <t>已交增值税</t>
  </si>
  <si>
    <t>备注</t>
  </si>
  <si>
    <t>工    程   明   细    表</t>
  </si>
  <si>
    <t>工程名称：</t>
  </si>
  <si>
    <t>合同金额：</t>
  </si>
  <si>
    <t>项目承包人：</t>
  </si>
  <si>
    <t>合同日期：</t>
  </si>
  <si>
    <t>材料分类统计表</t>
  </si>
  <si>
    <t>日期</t>
  </si>
  <si>
    <t>发票凭证号</t>
  </si>
  <si>
    <t>销售单位</t>
  </si>
  <si>
    <t>品名</t>
  </si>
  <si>
    <t>单位</t>
  </si>
  <si>
    <t>数量</t>
  </si>
  <si>
    <t>抵扣发票金额</t>
  </si>
  <si>
    <t>税率</t>
  </si>
  <si>
    <t>进项税额</t>
  </si>
  <si>
    <t>价税合计</t>
  </si>
  <si>
    <t>代付凭证号</t>
  </si>
  <si>
    <t>付款金额</t>
  </si>
  <si>
    <t>已开工程发票</t>
  </si>
  <si>
    <t>含税金额</t>
  </si>
  <si>
    <t>合计</t>
  </si>
  <si>
    <t>/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</si>
</sst>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);[Red]\(0.00\)"/>
    <numFmt numFmtId="177" formatCode="0.00_ "/>
  </numFmts>
  <fonts count="24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b/>
      <u/>
      <sz val="16"/>
      <color rgb="FF800080"/>
      <name val="微软雅黑"/>
      <charset val="0"/>
    </font>
    <font>
      <b/>
      <sz val="11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0"/>
      <color theme="1"/>
      <name val="微软雅黑"/>
      <charset val="134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3" tint="0.6"/>
        <bgColor indexed="64"/>
      </patternFill>
    </fill>
    <fill>
      <patternFill patternType="solid">
        <fgColor theme="8"/>
        <bgColor theme="4" tint="0.79998168889431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3" tint="0.4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theme="8" tint="0.799981688894314"/>
        <bgColor theme="8" tint="0.799981688894314"/>
      </patternFill>
    </fill>
    <fill>
      <patternFill patternType="solid">
        <fgColor theme="9" tint="0.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medium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medium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2" fillId="20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9" borderId="15" applyNumberFormat="0" applyFont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9" applyNumberFormat="0" applyFill="0" applyAlignment="0" applyProtection="0">
      <alignment vertical="center"/>
    </xf>
    <xf numFmtId="0" fontId="19" fillId="0" borderId="19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8" fillId="0" borderId="17" applyNumberFormat="0" applyFill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0" fillId="32" borderId="20" applyNumberFormat="0" applyAlignment="0" applyProtection="0">
      <alignment vertical="center"/>
    </xf>
    <xf numFmtId="0" fontId="21" fillId="32" borderId="16" applyNumberFormat="0" applyAlignment="0" applyProtection="0">
      <alignment vertical="center"/>
    </xf>
    <xf numFmtId="0" fontId="22" fillId="37" borderId="21" applyNumberFormat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5" fillId="0" borderId="18" applyNumberFormat="0" applyFill="0" applyAlignment="0" applyProtection="0">
      <alignment vertical="center"/>
    </xf>
    <xf numFmtId="0" fontId="23" fillId="0" borderId="22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" fillId="0" borderId="0" xfId="0" applyFont="1">
      <alignment vertical="center"/>
    </xf>
    <xf numFmtId="14" fontId="2" fillId="0" borderId="0" xfId="10" applyNumberFormat="1" applyFont="1" applyFill="1" applyAlignment="1">
      <alignment horizontal="center" vertical="center" shrinkToFit="1"/>
    </xf>
    <xf numFmtId="0" fontId="1" fillId="0" borderId="0" xfId="0" applyFont="1" applyFill="1" applyAlignment="1">
      <alignment horizontal="left" vertical="center" shrinkToFit="1"/>
    </xf>
    <xf numFmtId="0" fontId="1" fillId="0" borderId="1" xfId="0" applyFont="1" applyFill="1" applyBorder="1" applyAlignment="1">
      <alignment horizontal="left" vertical="center" shrinkToFit="1"/>
    </xf>
    <xf numFmtId="14" fontId="3" fillId="2" borderId="2" xfId="0" applyNumberFormat="1" applyFont="1" applyFill="1" applyBorder="1" applyAlignment="1">
      <alignment horizontal="center" vertical="center" wrapText="1" shrinkToFit="1"/>
    </xf>
    <xf numFmtId="0" fontId="3" fillId="2" borderId="2" xfId="0" applyFont="1" applyFill="1" applyBorder="1" applyAlignment="1">
      <alignment horizontal="center" vertical="center" wrapText="1" shrinkToFit="1"/>
    </xf>
    <xf numFmtId="49" fontId="3" fillId="3" borderId="3" xfId="0" applyNumberFormat="1" applyFont="1" applyFill="1" applyBorder="1" applyAlignment="1">
      <alignment horizontal="center" vertical="center" wrapText="1"/>
    </xf>
    <xf numFmtId="49" fontId="3" fillId="3" borderId="4" xfId="0" applyNumberFormat="1" applyFont="1" applyFill="1" applyBorder="1" applyAlignment="1">
      <alignment horizontal="center" vertical="center" wrapText="1"/>
    </xf>
    <xf numFmtId="49" fontId="3" fillId="3" borderId="5" xfId="0" applyNumberFormat="1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vertical="center" wrapText="1"/>
    </xf>
    <xf numFmtId="49" fontId="1" fillId="0" borderId="7" xfId="0" applyNumberFormat="1" applyFont="1" applyFill="1" applyBorder="1" applyAlignment="1">
      <alignment vertical="center" wrapText="1"/>
    </xf>
    <xf numFmtId="0" fontId="1" fillId="0" borderId="7" xfId="0" applyFont="1" applyFill="1" applyBorder="1" applyAlignment="1">
      <alignment vertical="center" wrapText="1"/>
    </xf>
    <xf numFmtId="49" fontId="1" fillId="4" borderId="7" xfId="0" applyNumberFormat="1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horizontal="center" vertical="center" shrinkToFit="1"/>
    </xf>
    <xf numFmtId="0" fontId="1" fillId="0" borderId="1" xfId="0" applyNumberFormat="1" applyFont="1" applyFill="1" applyBorder="1" applyAlignment="1">
      <alignment horizontal="center" vertical="center" shrinkToFit="1"/>
    </xf>
    <xf numFmtId="0" fontId="1" fillId="0" borderId="0" xfId="0" applyFont="1" applyFill="1" applyAlignment="1">
      <alignment horizontal="center" vertical="center" shrinkToFit="1"/>
    </xf>
    <xf numFmtId="9" fontId="3" fillId="2" borderId="2" xfId="0" applyNumberFormat="1" applyFont="1" applyFill="1" applyBorder="1" applyAlignment="1">
      <alignment horizontal="center" vertical="center" wrapText="1" shrinkToFit="1"/>
    </xf>
    <xf numFmtId="0" fontId="3" fillId="2" borderId="2" xfId="0" applyNumberFormat="1" applyFont="1" applyFill="1" applyBorder="1" applyAlignment="1">
      <alignment horizontal="center" vertical="center" wrapText="1" shrinkToFit="1"/>
    </xf>
    <xf numFmtId="0" fontId="3" fillId="2" borderId="8" xfId="0" applyFont="1" applyFill="1" applyBorder="1" applyAlignment="1">
      <alignment horizontal="center" vertical="center" wrapText="1" shrinkToFit="1"/>
    </xf>
    <xf numFmtId="0" fontId="1" fillId="3" borderId="6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/>
    </xf>
    <xf numFmtId="0" fontId="1" fillId="0" borderId="7" xfId="0" applyFont="1" applyFill="1" applyBorder="1">
      <alignment vertical="center"/>
    </xf>
    <xf numFmtId="0" fontId="1" fillId="4" borderId="7" xfId="0" applyFont="1" applyFill="1" applyBorder="1">
      <alignment vertical="center"/>
    </xf>
    <xf numFmtId="43" fontId="1" fillId="4" borderId="7" xfId="8" applyFont="1" applyFill="1" applyBorder="1">
      <alignment vertical="center"/>
    </xf>
    <xf numFmtId="0" fontId="1" fillId="0" borderId="7" xfId="0" applyFont="1" applyFill="1" applyBorder="1" applyAlignment="1">
      <alignment horizontal="center" vertical="center" wrapText="1"/>
    </xf>
    <xf numFmtId="43" fontId="1" fillId="0" borderId="7" xfId="8" applyFont="1" applyFill="1" applyBorder="1">
      <alignment vertical="center"/>
    </xf>
    <xf numFmtId="0" fontId="1" fillId="4" borderId="7" xfId="0" applyFont="1" applyFill="1" applyBorder="1" applyAlignment="1">
      <alignment horizontal="center" vertical="center" wrapText="1"/>
    </xf>
    <xf numFmtId="0" fontId="1" fillId="0" borderId="0" xfId="0" applyFont="1" applyFill="1" applyBorder="1">
      <alignment vertical="center"/>
    </xf>
    <xf numFmtId="0" fontId="1" fillId="0" borderId="0" xfId="0" applyFont="1" applyFill="1">
      <alignment vertical="center"/>
    </xf>
    <xf numFmtId="0" fontId="3" fillId="6" borderId="10" xfId="0" applyFont="1" applyFill="1" applyBorder="1" applyAlignment="1">
      <alignment vertical="center" wrapText="1"/>
    </xf>
    <xf numFmtId="0" fontId="1" fillId="7" borderId="11" xfId="0" applyFont="1" applyFill="1" applyBorder="1" applyAlignment="1">
      <alignment vertical="center" wrapText="1"/>
    </xf>
    <xf numFmtId="0" fontId="4" fillId="7" borderId="11" xfId="10" applyFill="1" applyBorder="1" applyAlignment="1">
      <alignment vertical="center" wrapText="1"/>
    </xf>
    <xf numFmtId="176" fontId="1" fillId="7" borderId="11" xfId="0" applyNumberFormat="1" applyFont="1" applyFill="1" applyBorder="1" applyAlignment="1">
      <alignment vertical="center" wrapText="1"/>
    </xf>
    <xf numFmtId="177" fontId="1" fillId="7" borderId="11" xfId="8" applyNumberFormat="1" applyFont="1" applyFill="1" applyBorder="1" applyAlignment="1">
      <alignment vertical="center" wrapText="1"/>
    </xf>
    <xf numFmtId="0" fontId="1" fillId="0" borderId="12" xfId="0" applyFont="1" applyFill="1" applyBorder="1" applyAlignment="1">
      <alignment vertical="center" wrapText="1"/>
    </xf>
    <xf numFmtId="0" fontId="5" fillId="0" borderId="12" xfId="10" applyFont="1" applyFill="1" applyBorder="1" applyAlignment="1">
      <alignment vertical="center" wrapText="1"/>
    </xf>
    <xf numFmtId="176" fontId="1" fillId="0" borderId="12" xfId="0" applyNumberFormat="1" applyFont="1" applyFill="1" applyBorder="1" applyAlignment="1">
      <alignment vertical="center" wrapText="1"/>
    </xf>
    <xf numFmtId="177" fontId="1" fillId="0" borderId="12" xfId="8" applyNumberFormat="1" applyFont="1" applyFill="1" applyBorder="1" applyAlignment="1">
      <alignment vertical="center" wrapText="1"/>
    </xf>
    <xf numFmtId="0" fontId="1" fillId="7" borderId="12" xfId="0" applyFont="1" applyFill="1" applyBorder="1" applyAlignment="1">
      <alignment vertical="center" wrapText="1"/>
    </xf>
    <xf numFmtId="176" fontId="1" fillId="7" borderId="12" xfId="0" applyNumberFormat="1" applyFont="1" applyFill="1" applyBorder="1" applyAlignment="1">
      <alignment vertical="center" wrapText="1"/>
    </xf>
    <xf numFmtId="177" fontId="1" fillId="7" borderId="12" xfId="8" applyNumberFormat="1" applyFont="1" applyFill="1" applyBorder="1" applyAlignment="1">
      <alignment vertical="center" wrapText="1"/>
    </xf>
    <xf numFmtId="0" fontId="6" fillId="0" borderId="0" xfId="0" applyFont="1">
      <alignment vertical="center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0" borderId="9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590550</xdr:colOff>
      <xdr:row>16</xdr:row>
      <xdr:rowOff>133350</xdr:rowOff>
    </xdr:from>
    <xdr:to>
      <xdr:col>6</xdr:col>
      <xdr:colOff>85090</xdr:colOff>
      <xdr:row>23</xdr:row>
      <xdr:rowOff>38100</xdr:rowOff>
    </xdr:to>
    <xdr:sp>
      <xdr:nvSpPr>
        <xdr:cNvPr id="2" name="文本框 1"/>
        <xdr:cNvSpPr txBox="1"/>
      </xdr:nvSpPr>
      <xdr:spPr>
        <a:xfrm>
          <a:off x="590550" y="3486150"/>
          <a:ext cx="4390390" cy="1371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组号</a:t>
          </a:r>
          <a:r>
            <a:rPr lang="en-US" altLang="zh-CN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3</a:t>
          </a:r>
          <a:r>
            <a:rPr lang="zh-CN" altLang="en-US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：</a:t>
          </a:r>
          <a:r>
            <a:rPr lang="zh-CN" altLang="en-US" sz="9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建筑材料可分为结构材料、装饰材料和某些专用材料。结构材料包括 木材、竹材、石材、水泥、混凝土、金属、砖瓦、陶瓷、玻璃、工程塑料、复合材料等；装饰材料包括各种涂料、油漆、镀层、贴面、各色瓷砖、具有特殊效果的玻璃等；专用材料指用于防水、防潮、防腐、防火、阻燃、隔音、隔热、保温、密封等。</a:t>
          </a:r>
          <a:endParaRPr lang="zh-CN" altLang="en-US" sz="9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182245</xdr:colOff>
          <xdr:row>0</xdr:row>
          <xdr:rowOff>142875</xdr:rowOff>
        </xdr:from>
        <xdr:to>
          <xdr:col>1</xdr:col>
          <xdr:colOff>1353185</xdr:colOff>
          <xdr:row>0</xdr:row>
          <xdr:rowOff>504825</xdr:rowOff>
        </xdr:to>
        <xdr:sp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82245" y="142875"/>
              <a:ext cx="156146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666750</xdr:colOff>
      <xdr:row>0</xdr:row>
      <xdr:rowOff>9525</xdr:rowOff>
    </xdr:from>
    <xdr:to>
      <xdr:col>6</xdr:col>
      <xdr:colOff>180340</xdr:colOff>
      <xdr:row>0</xdr:row>
      <xdr:rowOff>569595</xdr:rowOff>
    </xdr:to>
    <xdr:sp>
      <xdr:nvSpPr>
        <xdr:cNvPr id="2" name="文本框 1"/>
        <xdr:cNvSpPr txBox="1"/>
      </xdr:nvSpPr>
      <xdr:spPr>
        <a:xfrm>
          <a:off x="3486150" y="9525"/>
          <a:ext cx="3114040" cy="560070"/>
        </a:xfrm>
        <a:prstGeom prst="rect">
          <a:avLst/>
        </a:prstGeom>
        <a:solidFill>
          <a:schemeClr val="lt1"/>
        </a:solidFill>
        <a:ln w="28575" cmpd="dbl">
          <a:solidFill>
            <a:schemeClr val="accent1">
              <a:shade val="50000"/>
            </a:schemeClr>
          </a:solidFill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9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1</a:t>
          </a:r>
          <a:r>
            <a:rPr lang="zh-CN" altLang="en-US" sz="9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、数据变化后都可按</a:t>
          </a:r>
          <a:r>
            <a:rPr lang="en-US" altLang="zh-CN" sz="9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”</a:t>
          </a:r>
          <a:r>
            <a:rPr lang="zh-CN" altLang="en-US" sz="9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更新目录表</a:t>
          </a:r>
          <a:r>
            <a:rPr lang="en-US" altLang="zh-CN" sz="9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“</a:t>
          </a:r>
          <a:r>
            <a:rPr lang="zh-CN" altLang="en-US" sz="9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按键更新，不确定数据是否同步时，可随时按。</a:t>
          </a:r>
          <a:endParaRPr lang="zh-CN" altLang="en-US" sz="9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en-US" altLang="zh-CN" sz="9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2</a:t>
          </a:r>
          <a:r>
            <a:rPr lang="zh-CN" altLang="en-US" sz="9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、保存后，重新打开工作薄，会自动更新。</a:t>
          </a:r>
          <a:endParaRPr lang="zh-CN" altLang="en-US" sz="9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1543050</xdr:colOff>
          <xdr:row>0</xdr:row>
          <xdr:rowOff>152400</xdr:rowOff>
        </xdr:from>
        <xdr:to>
          <xdr:col>2</xdr:col>
          <xdr:colOff>561340</xdr:colOff>
          <xdr:row>0</xdr:row>
          <xdr:rowOff>495300</xdr:rowOff>
        </xdr:to>
        <xdr:sp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1933575" y="152400"/>
              <a:ext cx="144716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T16"/>
  <sheetViews>
    <sheetView showGridLines="0" zoomScale="80" zoomScaleNormal="80" workbookViewId="0">
      <selection activeCell="H19" sqref="H19"/>
    </sheetView>
  </sheetViews>
  <sheetFormatPr defaultColWidth="9" defaultRowHeight="16.5"/>
  <cols>
    <col min="1" max="1" width="9" style="43"/>
    <col min="2" max="2" width="11.25" style="43" customWidth="1"/>
    <col min="3" max="3" width="10.875" style="43" customWidth="1"/>
    <col min="4" max="4" width="11.25" style="43" customWidth="1"/>
    <col min="5" max="5" width="11" style="43" customWidth="1"/>
    <col min="6" max="6" width="10.875" style="43" customWidth="1"/>
    <col min="7" max="16384" width="9" style="43"/>
  </cols>
  <sheetData>
    <row r="2" spans="1:6">
      <c r="A2" s="44" t="s">
        <v>0</v>
      </c>
      <c r="B2" s="44" t="s">
        <v>1</v>
      </c>
      <c r="C2" s="45"/>
      <c r="D2" s="45"/>
      <c r="E2" s="45"/>
      <c r="F2" s="45"/>
    </row>
    <row r="3" spans="1:6">
      <c r="A3" s="44">
        <v>1</v>
      </c>
      <c r="B3" s="46" t="s">
        <v>2</v>
      </c>
      <c r="C3" s="44" t="s">
        <v>3</v>
      </c>
      <c r="D3" s="44" t="s">
        <v>4</v>
      </c>
      <c r="E3" s="44" t="s">
        <v>5</v>
      </c>
      <c r="F3" s="44" t="s">
        <v>6</v>
      </c>
    </row>
    <row r="4" spans="1:14">
      <c r="A4" s="44">
        <v>2</v>
      </c>
      <c r="B4" s="46" t="s">
        <v>7</v>
      </c>
      <c r="C4" s="44" t="s">
        <v>8</v>
      </c>
      <c r="D4" s="44" t="s">
        <v>9</v>
      </c>
      <c r="E4" s="44" t="s">
        <v>10</v>
      </c>
      <c r="F4" s="44" t="s">
        <v>11</v>
      </c>
      <c r="G4" s="44" t="s">
        <v>12</v>
      </c>
      <c r="H4" s="44" t="s">
        <v>13</v>
      </c>
      <c r="I4" s="44" t="s">
        <v>14</v>
      </c>
      <c r="J4" s="44" t="s">
        <v>15</v>
      </c>
      <c r="K4" s="44" t="s">
        <v>16</v>
      </c>
      <c r="L4" s="44" t="s">
        <v>17</v>
      </c>
      <c r="M4" s="44" t="s">
        <v>18</v>
      </c>
      <c r="N4" s="48" t="s">
        <v>19</v>
      </c>
    </row>
    <row r="5" spans="1:20">
      <c r="A5" s="44">
        <v>3</v>
      </c>
      <c r="B5" s="46" t="s">
        <v>20</v>
      </c>
      <c r="C5" s="44" t="s">
        <v>21</v>
      </c>
      <c r="D5" s="44" t="s">
        <v>22</v>
      </c>
      <c r="E5" s="44" t="s">
        <v>23</v>
      </c>
      <c r="F5" s="44" t="s">
        <v>24</v>
      </c>
      <c r="G5" s="47" t="s">
        <v>25</v>
      </c>
      <c r="H5" s="47" t="s">
        <v>26</v>
      </c>
      <c r="I5" s="47" t="s">
        <v>27</v>
      </c>
      <c r="J5" s="47" t="s">
        <v>28</v>
      </c>
      <c r="K5" s="47" t="s">
        <v>29</v>
      </c>
      <c r="L5" s="47" t="s">
        <v>30</v>
      </c>
      <c r="M5" s="47" t="s">
        <v>31</v>
      </c>
      <c r="N5" s="47" t="s">
        <v>32</v>
      </c>
      <c r="O5" s="47" t="s">
        <v>33</v>
      </c>
      <c r="P5" s="47" t="s">
        <v>34</v>
      </c>
      <c r="Q5" s="47" t="s">
        <v>35</v>
      </c>
      <c r="R5" s="47" t="s">
        <v>36</v>
      </c>
      <c r="S5" s="47" t="s">
        <v>37</v>
      </c>
      <c r="T5" s="47"/>
    </row>
    <row r="6" spans="1:14">
      <c r="A6" s="44"/>
      <c r="B6" s="46" t="s">
        <v>38</v>
      </c>
      <c r="C6" s="44"/>
      <c r="D6" s="44"/>
      <c r="E6" s="44"/>
      <c r="F6" s="44"/>
      <c r="G6" s="47"/>
      <c r="H6" s="47"/>
      <c r="I6" s="47"/>
      <c r="J6" s="47"/>
      <c r="K6" s="47"/>
      <c r="L6" s="47"/>
      <c r="M6" s="47"/>
      <c r="N6" s="49"/>
    </row>
    <row r="7" spans="1:14">
      <c r="A7" s="44"/>
      <c r="B7" s="46" t="s">
        <v>39</v>
      </c>
      <c r="C7" s="44"/>
      <c r="D7" s="44"/>
      <c r="E7" s="44"/>
      <c r="F7" s="44"/>
      <c r="G7" s="47"/>
      <c r="H7" s="47"/>
      <c r="I7" s="47"/>
      <c r="J7" s="47"/>
      <c r="K7" s="47"/>
      <c r="L7" s="47"/>
      <c r="M7" s="47"/>
      <c r="N7" s="47"/>
    </row>
    <row r="8" spans="1:14">
      <c r="A8" s="44"/>
      <c r="B8" s="46" t="s">
        <v>40</v>
      </c>
      <c r="C8" s="44"/>
      <c r="D8" s="44"/>
      <c r="E8" s="44"/>
      <c r="F8" s="44"/>
      <c r="G8" s="47"/>
      <c r="H8" s="47"/>
      <c r="I8" s="47"/>
      <c r="J8" s="47"/>
      <c r="K8" s="47"/>
      <c r="L8" s="47"/>
      <c r="M8" s="47"/>
      <c r="N8" s="47"/>
    </row>
    <row r="9" spans="1:14">
      <c r="A9" s="44"/>
      <c r="B9" s="46" t="s">
        <v>41</v>
      </c>
      <c r="C9" s="44"/>
      <c r="D9" s="44"/>
      <c r="E9" s="44"/>
      <c r="F9" s="44"/>
      <c r="G9" s="47"/>
      <c r="H9" s="47"/>
      <c r="I9" s="47"/>
      <c r="J9" s="47"/>
      <c r="K9" s="47"/>
      <c r="L9" s="47"/>
      <c r="M9" s="47"/>
      <c r="N9" s="47"/>
    </row>
    <row r="10" spans="1:14">
      <c r="A10" s="44"/>
      <c r="B10" s="46" t="s">
        <v>42</v>
      </c>
      <c r="C10" s="44"/>
      <c r="D10" s="44"/>
      <c r="E10" s="44"/>
      <c r="F10" s="44"/>
      <c r="G10" s="47"/>
      <c r="H10" s="47"/>
      <c r="I10" s="47"/>
      <c r="J10" s="47"/>
      <c r="K10" s="47"/>
      <c r="L10" s="47"/>
      <c r="M10" s="47"/>
      <c r="N10" s="47"/>
    </row>
    <row r="11" spans="1:14">
      <c r="A11" s="44"/>
      <c r="B11" s="46" t="s">
        <v>43</v>
      </c>
      <c r="C11" s="44"/>
      <c r="D11" s="44"/>
      <c r="E11" s="44"/>
      <c r="F11" s="44"/>
      <c r="G11" s="47"/>
      <c r="H11" s="47"/>
      <c r="I11" s="47"/>
      <c r="J11" s="47"/>
      <c r="K11" s="47"/>
      <c r="L11" s="47"/>
      <c r="M11" s="47"/>
      <c r="N11" s="47"/>
    </row>
    <row r="12" spans="1:14">
      <c r="A12" s="44"/>
      <c r="B12" s="46" t="s">
        <v>44</v>
      </c>
      <c r="C12" s="44"/>
      <c r="D12" s="44"/>
      <c r="E12" s="44"/>
      <c r="F12" s="44"/>
      <c r="G12" s="47"/>
      <c r="H12" s="47"/>
      <c r="I12" s="47"/>
      <c r="J12" s="47"/>
      <c r="K12" s="47"/>
      <c r="L12" s="47"/>
      <c r="M12" s="47"/>
      <c r="N12" s="47"/>
    </row>
    <row r="13" spans="1:14">
      <c r="A13" s="44"/>
      <c r="B13" s="46" t="s">
        <v>45</v>
      </c>
      <c r="C13" s="44"/>
      <c r="D13" s="44"/>
      <c r="E13" s="44"/>
      <c r="F13" s="44"/>
      <c r="G13" s="47"/>
      <c r="H13" s="47"/>
      <c r="I13" s="47"/>
      <c r="J13" s="47"/>
      <c r="K13" s="47"/>
      <c r="L13" s="47"/>
      <c r="M13" s="47"/>
      <c r="N13" s="47"/>
    </row>
    <row r="14" spans="1:14">
      <c r="A14" s="44"/>
      <c r="B14" s="46" t="s">
        <v>46</v>
      </c>
      <c r="C14" s="44"/>
      <c r="D14" s="44"/>
      <c r="E14" s="44"/>
      <c r="F14" s="44"/>
      <c r="G14" s="47"/>
      <c r="H14" s="47"/>
      <c r="I14" s="47"/>
      <c r="J14" s="47"/>
      <c r="K14" s="47"/>
      <c r="L14" s="47"/>
      <c r="M14" s="47"/>
      <c r="N14" s="47"/>
    </row>
    <row r="15" spans="1:14">
      <c r="A15" s="44"/>
      <c r="B15" s="46" t="s">
        <v>47</v>
      </c>
      <c r="C15" s="44"/>
      <c r="D15" s="44"/>
      <c r="E15" s="44"/>
      <c r="F15" s="44"/>
      <c r="G15" s="47"/>
      <c r="H15" s="47"/>
      <c r="I15" s="47"/>
      <c r="J15" s="47"/>
      <c r="K15" s="47"/>
      <c r="L15" s="47"/>
      <c r="M15" s="47"/>
      <c r="N15" s="47"/>
    </row>
    <row r="16" spans="1:14">
      <c r="A16" s="44"/>
      <c r="B16" s="46" t="s">
        <v>48</v>
      </c>
      <c r="C16" s="44"/>
      <c r="D16" s="44"/>
      <c r="E16" s="44"/>
      <c r="F16" s="44"/>
      <c r="G16" s="47"/>
      <c r="H16" s="47"/>
      <c r="I16" s="47"/>
      <c r="J16" s="47"/>
      <c r="K16" s="47"/>
      <c r="L16" s="47"/>
      <c r="M16" s="47"/>
      <c r="N16" s="47"/>
    </row>
  </sheetData>
  <pageMargins left="0.699305555555556" right="0.699305555555556" top="0.75" bottom="0.75" header="0.3" footer="0.3"/>
  <pageSetup paperSize="9" orientation="portrait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27"/>
  <sheetViews>
    <sheetView showGridLines="0" tabSelected="1" workbookViewId="0">
      <pane ySplit="2" topLeftCell="A3" activePane="bottomLeft" state="frozen"/>
      <selection/>
      <selection pane="bottomLeft" activeCell="B3" sqref="B3"/>
    </sheetView>
  </sheetViews>
  <sheetFormatPr defaultColWidth="9" defaultRowHeight="16.5"/>
  <cols>
    <col min="1" max="1" width="5.125" style="1" customWidth="1"/>
    <col min="2" max="2" width="31.875" style="1" customWidth="1"/>
    <col min="3" max="3" width="15.875" style="1" customWidth="1"/>
    <col min="4" max="4" width="10.5" style="1" customWidth="1"/>
    <col min="5" max="5" width="11.5" style="1" customWidth="1"/>
    <col min="6" max="6" width="9.375" style="1" customWidth="1"/>
    <col min="7" max="7" width="12.875" style="1" customWidth="1"/>
    <col min="8" max="8" width="10.125" style="1" customWidth="1"/>
    <col min="9" max="9" width="8.875" style="1" customWidth="1"/>
    <col min="10" max="11" width="10.875" style="1" customWidth="1"/>
    <col min="12" max="12" width="17.25" style="1" customWidth="1"/>
    <col min="13" max="16384" width="9" style="1"/>
  </cols>
  <sheetData>
    <row r="1" ht="49" customHeight="1"/>
    <row r="2" ht="30.75" spans="1:12">
      <c r="A2" s="31" t="s">
        <v>49</v>
      </c>
      <c r="B2" s="31" t="s">
        <v>50</v>
      </c>
      <c r="C2" s="31" t="s">
        <v>51</v>
      </c>
      <c r="D2" s="31" t="s">
        <v>52</v>
      </c>
      <c r="E2" s="31" t="s">
        <v>53</v>
      </c>
      <c r="F2" s="31" t="s">
        <v>54</v>
      </c>
      <c r="G2" s="31" t="s">
        <v>55</v>
      </c>
      <c r="H2" s="31" t="s">
        <v>56</v>
      </c>
      <c r="I2" s="31" t="s">
        <v>57</v>
      </c>
      <c r="J2" s="31" t="s">
        <v>58</v>
      </c>
      <c r="K2" s="31" t="s">
        <v>59</v>
      </c>
      <c r="L2" s="31" t="s">
        <v>60</v>
      </c>
    </row>
    <row r="3" spans="1:12">
      <c r="A3" s="32">
        <v>1</v>
      </c>
      <c r="B3" s="33"/>
      <c r="C3" s="34"/>
      <c r="D3" s="32"/>
      <c r="E3" s="35">
        <v>0</v>
      </c>
      <c r="F3" s="35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32"/>
    </row>
    <row r="4" ht="17.25" spans="1:12">
      <c r="A4" s="36">
        <v>2</v>
      </c>
      <c r="B4" s="37"/>
      <c r="C4" s="38"/>
      <c r="D4" s="36"/>
      <c r="E4" s="39"/>
      <c r="F4" s="39"/>
      <c r="G4" s="39"/>
      <c r="H4" s="39"/>
      <c r="I4" s="39"/>
      <c r="J4" s="39"/>
      <c r="K4" s="39"/>
      <c r="L4" s="36"/>
    </row>
    <row r="5" spans="1:12">
      <c r="A5" s="32">
        <v>3</v>
      </c>
      <c r="B5" s="40"/>
      <c r="C5" s="41"/>
      <c r="D5" s="40"/>
      <c r="E5" s="42"/>
      <c r="F5" s="42"/>
      <c r="G5" s="42"/>
      <c r="H5" s="42"/>
      <c r="I5" s="42"/>
      <c r="J5" s="42"/>
      <c r="K5" s="42"/>
      <c r="L5" s="40"/>
    </row>
    <row r="6" ht="17.25" spans="1:12">
      <c r="A6" s="36">
        <v>4</v>
      </c>
      <c r="B6" s="36"/>
      <c r="C6" s="38"/>
      <c r="D6" s="36"/>
      <c r="E6" s="39"/>
      <c r="F6" s="39"/>
      <c r="G6" s="39"/>
      <c r="H6" s="39"/>
      <c r="I6" s="39"/>
      <c r="J6" s="39"/>
      <c r="K6" s="39"/>
      <c r="L6" s="36"/>
    </row>
    <row r="7" spans="1:12">
      <c r="A7" s="32">
        <v>5</v>
      </c>
      <c r="B7" s="40"/>
      <c r="C7" s="41"/>
      <c r="D7" s="40"/>
      <c r="E7" s="42"/>
      <c r="F7" s="42"/>
      <c r="G7" s="42"/>
      <c r="H7" s="42"/>
      <c r="I7" s="42"/>
      <c r="J7" s="42"/>
      <c r="K7" s="42"/>
      <c r="L7" s="40"/>
    </row>
    <row r="8" ht="17.25" spans="1:12">
      <c r="A8" s="36">
        <v>6</v>
      </c>
      <c r="B8" s="36"/>
      <c r="C8" s="38"/>
      <c r="D8" s="36"/>
      <c r="E8" s="39"/>
      <c r="F8" s="39"/>
      <c r="G8" s="39"/>
      <c r="H8" s="39"/>
      <c r="I8" s="39"/>
      <c r="J8" s="39"/>
      <c r="K8" s="39"/>
      <c r="L8" s="36"/>
    </row>
    <row r="9" spans="1:12">
      <c r="A9" s="32">
        <v>7</v>
      </c>
      <c r="B9" s="40"/>
      <c r="C9" s="41"/>
      <c r="D9" s="40"/>
      <c r="E9" s="42"/>
      <c r="F9" s="42"/>
      <c r="G9" s="42"/>
      <c r="H9" s="42"/>
      <c r="I9" s="42"/>
      <c r="J9" s="42"/>
      <c r="K9" s="42"/>
      <c r="L9" s="40"/>
    </row>
    <row r="10" ht="17.25" spans="1:12">
      <c r="A10" s="36">
        <v>8</v>
      </c>
      <c r="B10" s="36"/>
      <c r="C10" s="38"/>
      <c r="D10" s="36"/>
      <c r="E10" s="39"/>
      <c r="F10" s="39"/>
      <c r="G10" s="39"/>
      <c r="H10" s="39"/>
      <c r="I10" s="39"/>
      <c r="J10" s="39"/>
      <c r="K10" s="39"/>
      <c r="L10" s="36"/>
    </row>
    <row r="11" spans="1:12">
      <c r="A11" s="32">
        <v>9</v>
      </c>
      <c r="B11" s="40"/>
      <c r="C11" s="41"/>
      <c r="D11" s="40"/>
      <c r="E11" s="42"/>
      <c r="F11" s="42"/>
      <c r="G11" s="42"/>
      <c r="H11" s="42"/>
      <c r="I11" s="42"/>
      <c r="J11" s="42"/>
      <c r="K11" s="42"/>
      <c r="L11" s="40"/>
    </row>
    <row r="12" ht="17.25" spans="1:12">
      <c r="A12" s="36">
        <v>10</v>
      </c>
      <c r="B12" s="36"/>
      <c r="C12" s="38"/>
      <c r="D12" s="36"/>
      <c r="E12" s="39"/>
      <c r="F12" s="39"/>
      <c r="G12" s="39"/>
      <c r="H12" s="39"/>
      <c r="I12" s="39"/>
      <c r="J12" s="39"/>
      <c r="K12" s="39"/>
      <c r="L12" s="36"/>
    </row>
    <row r="13" spans="1:12">
      <c r="A13" s="32">
        <v>11</v>
      </c>
      <c r="B13" s="40"/>
      <c r="C13" s="41"/>
      <c r="D13" s="40"/>
      <c r="E13" s="42"/>
      <c r="F13" s="42"/>
      <c r="G13" s="42"/>
      <c r="H13" s="42"/>
      <c r="I13" s="42"/>
      <c r="J13" s="42"/>
      <c r="K13" s="42"/>
      <c r="L13" s="40"/>
    </row>
    <row r="14" ht="17.25" spans="1:12">
      <c r="A14" s="36">
        <v>12</v>
      </c>
      <c r="B14" s="36"/>
      <c r="C14" s="38"/>
      <c r="D14" s="36"/>
      <c r="E14" s="39"/>
      <c r="F14" s="39"/>
      <c r="G14" s="39"/>
      <c r="H14" s="39"/>
      <c r="I14" s="39"/>
      <c r="J14" s="39"/>
      <c r="K14" s="39"/>
      <c r="L14" s="36"/>
    </row>
    <row r="15" spans="1:12">
      <c r="A15" s="32">
        <v>13</v>
      </c>
      <c r="B15" s="40"/>
      <c r="C15" s="41"/>
      <c r="D15" s="40"/>
      <c r="E15" s="42"/>
      <c r="F15" s="42"/>
      <c r="G15" s="42"/>
      <c r="H15" s="42"/>
      <c r="I15" s="42"/>
      <c r="J15" s="42"/>
      <c r="K15" s="42"/>
      <c r="L15" s="40"/>
    </row>
    <row r="16" ht="17.25" spans="1:12">
      <c r="A16" s="36">
        <v>14</v>
      </c>
      <c r="B16" s="36"/>
      <c r="C16" s="38"/>
      <c r="D16" s="36"/>
      <c r="E16" s="39"/>
      <c r="F16" s="39"/>
      <c r="G16" s="39"/>
      <c r="H16" s="39"/>
      <c r="I16" s="39"/>
      <c r="J16" s="39"/>
      <c r="K16" s="39"/>
      <c r="L16" s="36"/>
    </row>
    <row r="17" spans="1:12">
      <c r="A17" s="32">
        <v>15</v>
      </c>
      <c r="B17" s="40"/>
      <c r="C17" s="41"/>
      <c r="D17" s="40"/>
      <c r="E17" s="42"/>
      <c r="F17" s="42"/>
      <c r="G17" s="42"/>
      <c r="H17" s="42"/>
      <c r="I17" s="42"/>
      <c r="J17" s="42"/>
      <c r="K17" s="42"/>
      <c r="L17" s="40"/>
    </row>
    <row r="18" ht="17.25" spans="1:12">
      <c r="A18" s="36">
        <v>16</v>
      </c>
      <c r="B18" s="36"/>
      <c r="C18" s="38"/>
      <c r="D18" s="36"/>
      <c r="E18" s="39"/>
      <c r="F18" s="39"/>
      <c r="G18" s="39"/>
      <c r="H18" s="39"/>
      <c r="I18" s="39"/>
      <c r="J18" s="39"/>
      <c r="K18" s="39"/>
      <c r="L18" s="36"/>
    </row>
    <row r="19" spans="1:12">
      <c r="A19" s="32">
        <v>17</v>
      </c>
      <c r="B19" s="40"/>
      <c r="C19" s="41"/>
      <c r="D19" s="40"/>
      <c r="E19" s="42"/>
      <c r="F19" s="42"/>
      <c r="G19" s="42"/>
      <c r="H19" s="42"/>
      <c r="I19" s="42"/>
      <c r="J19" s="42"/>
      <c r="K19" s="42"/>
      <c r="L19" s="40"/>
    </row>
    <row r="20" ht="17.25" spans="1:12">
      <c r="A20" s="36">
        <v>18</v>
      </c>
      <c r="B20" s="36"/>
      <c r="C20" s="38"/>
      <c r="D20" s="36"/>
      <c r="E20" s="39"/>
      <c r="F20" s="39"/>
      <c r="G20" s="39"/>
      <c r="H20" s="39"/>
      <c r="I20" s="39"/>
      <c r="J20" s="39"/>
      <c r="K20" s="39"/>
      <c r="L20" s="36"/>
    </row>
    <row r="21" spans="1:12">
      <c r="A21" s="32">
        <v>19</v>
      </c>
      <c r="B21" s="40"/>
      <c r="C21" s="41"/>
      <c r="D21" s="40"/>
      <c r="E21" s="42"/>
      <c r="F21" s="42"/>
      <c r="G21" s="42"/>
      <c r="H21" s="42"/>
      <c r="I21" s="42"/>
      <c r="J21" s="42"/>
      <c r="K21" s="42"/>
      <c r="L21" s="40"/>
    </row>
    <row r="22" ht="17.25" spans="1:12">
      <c r="A22" s="36">
        <v>20</v>
      </c>
      <c r="B22" s="36"/>
      <c r="C22" s="38"/>
      <c r="D22" s="36"/>
      <c r="E22" s="39"/>
      <c r="F22" s="39"/>
      <c r="G22" s="39"/>
      <c r="H22" s="39"/>
      <c r="I22" s="39"/>
      <c r="J22" s="39"/>
      <c r="K22" s="39"/>
      <c r="L22" s="36"/>
    </row>
    <row r="23" spans="1:12">
      <c r="A23" s="32">
        <v>21</v>
      </c>
      <c r="B23" s="40"/>
      <c r="C23" s="41"/>
      <c r="D23" s="40"/>
      <c r="E23" s="42"/>
      <c r="F23" s="42"/>
      <c r="G23" s="42"/>
      <c r="H23" s="42"/>
      <c r="I23" s="42"/>
      <c r="J23" s="42"/>
      <c r="K23" s="42"/>
      <c r="L23" s="40"/>
    </row>
    <row r="24" ht="17.25" spans="1:12">
      <c r="A24" s="36">
        <v>22</v>
      </c>
      <c r="B24" s="36"/>
      <c r="C24" s="38"/>
      <c r="D24" s="36"/>
      <c r="E24" s="39"/>
      <c r="F24" s="39"/>
      <c r="G24" s="39"/>
      <c r="H24" s="39"/>
      <c r="I24" s="39"/>
      <c r="J24" s="39"/>
      <c r="K24" s="39"/>
      <c r="L24" s="36"/>
    </row>
    <row r="25" spans="1:12">
      <c r="A25" s="32">
        <v>23</v>
      </c>
      <c r="B25" s="40"/>
      <c r="C25" s="41"/>
      <c r="D25" s="40"/>
      <c r="E25" s="42"/>
      <c r="F25" s="42"/>
      <c r="G25" s="42"/>
      <c r="H25" s="42"/>
      <c r="I25" s="42"/>
      <c r="J25" s="42"/>
      <c r="K25" s="42"/>
      <c r="L25" s="40"/>
    </row>
    <row r="26" ht="17.25" spans="1:12">
      <c r="A26" s="36">
        <v>24</v>
      </c>
      <c r="B26" s="36"/>
      <c r="C26" s="38"/>
      <c r="D26" s="36"/>
      <c r="E26" s="39"/>
      <c r="F26" s="39"/>
      <c r="G26" s="39"/>
      <c r="H26" s="39"/>
      <c r="I26" s="39"/>
      <c r="J26" s="39"/>
      <c r="K26" s="39"/>
      <c r="L26" s="36"/>
    </row>
    <row r="27" spans="1:12">
      <c r="A27" s="32">
        <v>25</v>
      </c>
      <c r="B27" s="40"/>
      <c r="C27" s="41"/>
      <c r="D27" s="40"/>
      <c r="E27" s="42"/>
      <c r="F27" s="42"/>
      <c r="G27" s="42"/>
      <c r="H27" s="42"/>
      <c r="I27" s="42"/>
      <c r="J27" s="42"/>
      <c r="K27" s="42"/>
      <c r="L27" s="40"/>
    </row>
  </sheetData>
  <hyperlinks>
    <hyperlink ref="B3" location="表1 (2)!A1"/>
  </hyperlink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r:id="rId4">
            <anchor moveWithCells="1">
              <from>
                <xdr:col>0</xdr:col>
                <xdr:colOff>182245</xdr:colOff>
                <xdr:row>0</xdr:row>
                <xdr:rowOff>142875</xdr:rowOff>
              </from>
              <to>
                <xdr:col>1</xdr:col>
                <xdr:colOff>1353185</xdr:colOff>
                <xdr:row>0</xdr:row>
                <xdr:rowOff>504825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mmandButton2">
          <controlPr defaultSize="0" r:id="rId6">
            <anchor moveWithCells="1">
              <from>
                <xdr:col>1</xdr:col>
                <xdr:colOff>1543050</xdr:colOff>
                <xdr:row>0</xdr:row>
                <xdr:rowOff>152400</xdr:rowOff>
              </from>
              <to>
                <xdr:col>2</xdr:col>
                <xdr:colOff>561340</xdr:colOff>
                <xdr:row>0</xdr:row>
                <xdr:rowOff>495300</xdr:rowOff>
              </to>
            </anchor>
          </controlPr>
        </control>
      </mc:Choice>
      <mc:Fallback>
        <control shapeId="4098" r:id="rId5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W100"/>
  <sheetViews>
    <sheetView showGridLines="0" zoomScale="90" zoomScaleNormal="90" workbookViewId="0">
      <pane ySplit="4" topLeftCell="A5" activePane="bottomLeft" state="frozen"/>
      <selection/>
      <selection pane="bottomLeft" activeCell="D15" sqref="D15"/>
    </sheetView>
  </sheetViews>
  <sheetFormatPr defaultColWidth="9" defaultRowHeight="16.5"/>
  <cols>
    <col min="1" max="1" width="9" style="1"/>
    <col min="2" max="2" width="11.3833333333333" style="1" customWidth="1"/>
    <col min="3" max="3" width="31.1083333333333" style="1" customWidth="1"/>
    <col min="4" max="4" width="15" style="1" customWidth="1"/>
    <col min="5" max="6" width="9" style="1"/>
    <col min="7" max="7" width="9.25" style="1"/>
    <col min="8" max="10" width="9" style="1"/>
    <col min="11" max="11" width="9.25" style="1"/>
    <col min="12" max="12" width="10.1333333333333" style="1" customWidth="1"/>
    <col min="13" max="13" width="9" style="1"/>
    <col min="14" max="14" width="12.875" style="1" customWidth="1"/>
    <col min="15" max="15" width="9.25" style="1"/>
    <col min="16" max="16" width="10.125" style="1" customWidth="1"/>
    <col min="17" max="17" width="10.6916666666667" style="1" customWidth="1"/>
    <col min="18" max="21" width="9" style="1"/>
    <col min="22" max="22" width="17.6333333333333" style="1" customWidth="1"/>
    <col min="23" max="23" width="20.0416666666667" style="1" customWidth="1"/>
    <col min="24" max="16384" width="9" style="1"/>
  </cols>
  <sheetData>
    <row r="1" ht="22.5" spans="1:18">
      <c r="A1" s="2" t="s">
        <v>61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23">
      <c r="A2" s="3" t="s">
        <v>62</v>
      </c>
      <c r="B2" s="3"/>
      <c r="C2" s="3"/>
      <c r="D2" s="3"/>
      <c r="E2" s="3"/>
      <c r="F2" s="3"/>
      <c r="G2" s="3"/>
      <c r="H2" s="4" t="s">
        <v>63</v>
      </c>
      <c r="I2" s="4"/>
      <c r="J2" s="4"/>
      <c r="K2" s="15" t="s">
        <v>64</v>
      </c>
      <c r="L2" s="15"/>
      <c r="M2" s="15"/>
      <c r="N2" s="16"/>
      <c r="O2" s="16"/>
      <c r="P2" s="17" t="s">
        <v>65</v>
      </c>
      <c r="Q2" s="17"/>
      <c r="R2" s="17"/>
      <c r="T2" s="22" t="s">
        <v>66</v>
      </c>
      <c r="U2" s="22"/>
      <c r="V2" s="22"/>
      <c r="W2" s="22"/>
    </row>
    <row r="3" ht="30.75" spans="1:23">
      <c r="A3" s="5" t="s">
        <v>67</v>
      </c>
      <c r="B3" s="5" t="s">
        <v>68</v>
      </c>
      <c r="C3" s="6" t="s">
        <v>69</v>
      </c>
      <c r="D3" s="6" t="s">
        <v>70</v>
      </c>
      <c r="E3" s="6" t="s">
        <v>20</v>
      </c>
      <c r="F3" s="6" t="s">
        <v>71</v>
      </c>
      <c r="G3" s="6" t="s">
        <v>72</v>
      </c>
      <c r="H3" s="6" t="s">
        <v>73</v>
      </c>
      <c r="I3" s="18" t="s">
        <v>74</v>
      </c>
      <c r="J3" s="6" t="s">
        <v>75</v>
      </c>
      <c r="K3" s="6" t="s">
        <v>76</v>
      </c>
      <c r="L3" s="5" t="s">
        <v>77</v>
      </c>
      <c r="M3" s="6" t="s">
        <v>78</v>
      </c>
      <c r="N3" s="19" t="s">
        <v>79</v>
      </c>
      <c r="O3" s="19" t="s">
        <v>54</v>
      </c>
      <c r="P3" s="20" t="s">
        <v>59</v>
      </c>
      <c r="Q3" s="20" t="s">
        <v>58</v>
      </c>
      <c r="R3" s="20" t="s">
        <v>60</v>
      </c>
      <c r="T3" s="23" t="s">
        <v>49</v>
      </c>
      <c r="U3" s="23" t="s">
        <v>20</v>
      </c>
      <c r="V3" s="23" t="s">
        <v>80</v>
      </c>
      <c r="W3" s="23" t="s">
        <v>60</v>
      </c>
    </row>
    <row r="4" spans="1:23">
      <c r="A4" s="7" t="s">
        <v>81</v>
      </c>
      <c r="B4" s="8"/>
      <c r="C4" s="8"/>
      <c r="D4" s="8"/>
      <c r="E4" s="8"/>
      <c r="F4" s="9"/>
      <c r="G4" s="10">
        <f>SUM(G5:G5000)</f>
        <v>0</v>
      </c>
      <c r="H4" s="10">
        <f t="shared" ref="H4:Q4" si="0">SUM(H5:H5000)</f>
        <v>0</v>
      </c>
      <c r="I4" s="21" t="s">
        <v>82</v>
      </c>
      <c r="J4" s="10">
        <f t="shared" si="0"/>
        <v>0</v>
      </c>
      <c r="K4" s="10">
        <f t="shared" si="0"/>
        <v>0</v>
      </c>
      <c r="L4" s="21" t="s">
        <v>82</v>
      </c>
      <c r="M4" s="10">
        <f t="shared" si="0"/>
        <v>0</v>
      </c>
      <c r="N4" s="10">
        <f t="shared" si="0"/>
        <v>0</v>
      </c>
      <c r="O4" s="10">
        <f t="shared" si="0"/>
        <v>0</v>
      </c>
      <c r="P4" s="10">
        <f t="shared" si="0"/>
        <v>0</v>
      </c>
      <c r="Q4" s="10">
        <f>O4-J4</f>
        <v>0</v>
      </c>
      <c r="R4" s="21" t="s">
        <v>82</v>
      </c>
      <c r="T4" s="24">
        <v>1</v>
      </c>
      <c r="U4" s="24" t="str">
        <f ca="1">IF(OFFSET(名称管理器!$B$5,0,ROW()-3)="","",OFFSET(名称管理器!$B$5,0,ROW()-3))</f>
        <v>木材</v>
      </c>
      <c r="V4" s="25">
        <f ca="1">IF(U4="",0,SUMIF(E:E,U4,K:K))</f>
        <v>0</v>
      </c>
      <c r="W4" s="24"/>
    </row>
    <row r="5" spans="1:23">
      <c r="A5" s="11"/>
      <c r="B5" s="11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26" t="s">
        <v>82</v>
      </c>
      <c r="R5" s="12"/>
      <c r="T5" s="23">
        <v>2</v>
      </c>
      <c r="U5" s="23" t="str">
        <f ca="1">IF(OFFSET(名称管理器!$B$5,0,ROW()-3)="","",OFFSET(名称管理器!$B$5,0,ROW()-3))</f>
        <v>石材</v>
      </c>
      <c r="V5" s="27">
        <f ca="1" t="shared" ref="V5:V26" si="1">IF(U5="",0,SUMIF(E:E,U5,K:K))</f>
        <v>0</v>
      </c>
      <c r="W5" s="23"/>
    </row>
    <row r="6" spans="1:23">
      <c r="A6" s="13"/>
      <c r="B6" s="13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28" t="s">
        <v>82</v>
      </c>
      <c r="R6" s="14"/>
      <c r="T6" s="24">
        <v>3</v>
      </c>
      <c r="U6" s="24" t="str">
        <f ca="1">IF(OFFSET(名称管理器!$B$5,0,ROW()-3)="","",OFFSET(名称管理器!$B$5,0,ROW()-3))</f>
        <v>水泥</v>
      </c>
      <c r="V6" s="25">
        <f ca="1" t="shared" si="1"/>
        <v>0</v>
      </c>
      <c r="W6" s="24"/>
    </row>
    <row r="7" spans="1:23">
      <c r="A7" s="11"/>
      <c r="B7" s="11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26" t="s">
        <v>82</v>
      </c>
      <c r="R7" s="12"/>
      <c r="T7" s="23">
        <v>4</v>
      </c>
      <c r="U7" s="23" t="str">
        <f ca="1">IF(OFFSET(名称管理器!$B$5,0,ROW()-3)="","",OFFSET(名称管理器!$B$5,0,ROW()-3))</f>
        <v>混凝土</v>
      </c>
      <c r="V7" s="27">
        <f ca="1" t="shared" si="1"/>
        <v>0</v>
      </c>
      <c r="W7" s="23"/>
    </row>
    <row r="8" spans="1:23">
      <c r="A8" s="13"/>
      <c r="B8" s="13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28" t="s">
        <v>82</v>
      </c>
      <c r="R8" s="14"/>
      <c r="T8" s="24">
        <v>5</v>
      </c>
      <c r="U8" s="24" t="str">
        <f ca="1">IF(OFFSET(名称管理器!$B$5,0,ROW()-3)="","",OFFSET(名称管理器!$B$5,0,ROW()-3))</f>
        <v>金属</v>
      </c>
      <c r="V8" s="25">
        <f ca="1" t="shared" si="1"/>
        <v>0</v>
      </c>
      <c r="W8" s="24"/>
    </row>
    <row r="9" spans="1:23">
      <c r="A9" s="11"/>
      <c r="B9" s="11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26" t="s">
        <v>82</v>
      </c>
      <c r="R9" s="12"/>
      <c r="T9" s="23">
        <v>6</v>
      </c>
      <c r="U9" s="23" t="str">
        <f ca="1">IF(OFFSET(名称管理器!$B$5,0,ROW()-3)="","",OFFSET(名称管理器!$B$5,0,ROW()-3))</f>
        <v>砖瓦</v>
      </c>
      <c r="V9" s="27">
        <f ca="1" t="shared" si="1"/>
        <v>0</v>
      </c>
      <c r="W9" s="23"/>
    </row>
    <row r="10" spans="1:23">
      <c r="A10" s="13"/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28" t="s">
        <v>82</v>
      </c>
      <c r="R10" s="14"/>
      <c r="T10" s="24">
        <v>7</v>
      </c>
      <c r="U10" s="24" t="str">
        <f ca="1">IF(OFFSET(名称管理器!$B$5,0,ROW()-3)="","",OFFSET(名称管理器!$B$5,0,ROW()-3))</f>
        <v>工程塑料</v>
      </c>
      <c r="V10" s="25">
        <f ca="1" t="shared" si="1"/>
        <v>0</v>
      </c>
      <c r="W10" s="24"/>
    </row>
    <row r="11" spans="1:23">
      <c r="A11" s="11"/>
      <c r="B11" s="11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26" t="s">
        <v>82</v>
      </c>
      <c r="R11" s="12"/>
      <c r="T11" s="23">
        <v>8</v>
      </c>
      <c r="U11" s="23" t="str">
        <f ca="1">IF(OFFSET(名称管理器!$B$5,0,ROW()-3)="","",OFFSET(名称管理器!$B$5,0,ROW()-3))</f>
        <v>涂料</v>
      </c>
      <c r="V11" s="27">
        <f ca="1" t="shared" si="1"/>
        <v>0</v>
      </c>
      <c r="W11" s="23"/>
    </row>
    <row r="12" spans="1:23">
      <c r="A12" s="13"/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28" t="s">
        <v>82</v>
      </c>
      <c r="R12" s="14"/>
      <c r="T12" s="24">
        <v>9</v>
      </c>
      <c r="U12" s="24" t="str">
        <f ca="1">IF(OFFSET(名称管理器!$B$5,0,ROW()-3)="","",OFFSET(名称管理器!$B$5,0,ROW()-3))</f>
        <v>油漆</v>
      </c>
      <c r="V12" s="25">
        <f ca="1" t="shared" si="1"/>
        <v>0</v>
      </c>
      <c r="W12" s="24"/>
    </row>
    <row r="13" spans="1:23">
      <c r="A13" s="11"/>
      <c r="B13" s="11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26" t="s">
        <v>82</v>
      </c>
      <c r="R13" s="12"/>
      <c r="T13" s="23">
        <v>10</v>
      </c>
      <c r="U13" s="23" t="str">
        <f ca="1">IF(OFFSET(名称管理器!$B$5,0,ROW()-3)="","",OFFSET(名称管理器!$B$5,0,ROW()-3))</f>
        <v>各色瓷砖</v>
      </c>
      <c r="V13" s="27">
        <f ca="1" t="shared" si="1"/>
        <v>0</v>
      </c>
      <c r="W13" s="23"/>
    </row>
    <row r="14" spans="1:23">
      <c r="A14" s="13"/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28" t="s">
        <v>82</v>
      </c>
      <c r="R14" s="14"/>
      <c r="T14" s="24">
        <v>11</v>
      </c>
      <c r="U14" s="24" t="str">
        <f ca="1">IF(OFFSET(名称管理器!$B$5,0,ROW()-3)="","",OFFSET(名称管理器!$B$5,0,ROW()-3))</f>
        <v>专用材料</v>
      </c>
      <c r="V14" s="25">
        <f ca="1" t="shared" si="1"/>
        <v>0</v>
      </c>
      <c r="W14" s="24"/>
    </row>
    <row r="15" spans="1:23">
      <c r="A15" s="11"/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26" t="s">
        <v>82</v>
      </c>
      <c r="R15" s="12"/>
      <c r="T15" s="23">
        <v>12</v>
      </c>
      <c r="U15" s="23" t="str">
        <f ca="1">IF(OFFSET(名称管理器!$B$5,0,ROW()-3)="","",OFFSET(名称管理器!$B$5,0,ROW()-3))</f>
        <v>水</v>
      </c>
      <c r="V15" s="27">
        <f ca="1" t="shared" si="1"/>
        <v>0</v>
      </c>
      <c r="W15" s="23"/>
    </row>
    <row r="16" spans="1:23">
      <c r="A16" s="13"/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28" t="s">
        <v>82</v>
      </c>
      <c r="R16" s="14"/>
      <c r="T16" s="24">
        <v>13</v>
      </c>
      <c r="U16" s="24" t="str">
        <f ca="1">IF(OFFSET(名称管理器!$B$5,0,ROW()-3)="","",OFFSET(名称管理器!$B$5,0,ROW()-3))</f>
        <v>电</v>
      </c>
      <c r="V16" s="25">
        <f ca="1" t="shared" si="1"/>
        <v>0</v>
      </c>
      <c r="W16" s="24"/>
    </row>
    <row r="17" spans="1:23">
      <c r="A17" s="11"/>
      <c r="B17" s="11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26" t="s">
        <v>82</v>
      </c>
      <c r="R17" s="12"/>
      <c r="T17" s="23">
        <v>14</v>
      </c>
      <c r="U17" s="23" t="str">
        <f ca="1">IF(OFFSET(名称管理器!$B$5,0,ROW()-3)="","",OFFSET(名称管理器!$B$5,0,ROW()-3))</f>
        <v>苗木</v>
      </c>
      <c r="V17" s="27">
        <f ca="1" t="shared" si="1"/>
        <v>0</v>
      </c>
      <c r="W17" s="23"/>
    </row>
    <row r="18" spans="1:23">
      <c r="A18" s="13"/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28" t="s">
        <v>82</v>
      </c>
      <c r="R18" s="14"/>
      <c r="T18" s="24">
        <v>15</v>
      </c>
      <c r="U18" s="24" t="str">
        <f ca="1">IF(OFFSET(名称管理器!$B$5,0,ROW()-3)="","",OFFSET(名称管理器!$B$5,0,ROW()-3))</f>
        <v>汽柴油</v>
      </c>
      <c r="V18" s="25">
        <f ca="1" t="shared" si="1"/>
        <v>0</v>
      </c>
      <c r="W18" s="24"/>
    </row>
    <row r="19" spans="1:23">
      <c r="A19" s="11"/>
      <c r="B19" s="11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26" t="s">
        <v>82</v>
      </c>
      <c r="R19" s="12"/>
      <c r="T19" s="23">
        <v>16</v>
      </c>
      <c r="U19" s="23" t="str">
        <f ca="1">IF(OFFSET(名称管理器!$B$5,0,ROW()-3)="","",OFFSET(名称管理器!$B$5,0,ROW()-3))</f>
        <v>劳务</v>
      </c>
      <c r="V19" s="27">
        <f ca="1" t="shared" si="1"/>
        <v>0</v>
      </c>
      <c r="W19" s="23"/>
    </row>
    <row r="20" spans="1:23">
      <c r="A20" s="13"/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28" t="s">
        <v>82</v>
      </c>
      <c r="R20" s="14"/>
      <c r="T20" s="24">
        <v>17</v>
      </c>
      <c r="U20" s="24" t="str">
        <f ca="1">IF(OFFSET(名称管理器!$B$5,0,ROW()-3)="","",OFFSET(名称管理器!$B$5,0,ROW()-3))</f>
        <v>其他</v>
      </c>
      <c r="V20" s="25">
        <f ca="1" t="shared" si="1"/>
        <v>0</v>
      </c>
      <c r="W20" s="24"/>
    </row>
    <row r="21" spans="1:23">
      <c r="A21" s="11"/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26" t="s">
        <v>82</v>
      </c>
      <c r="R21" s="12"/>
      <c r="T21" s="23">
        <v>18</v>
      </c>
      <c r="U21" s="23" t="str">
        <f ca="1">IF(OFFSET(名称管理器!$B$5,0,ROW()-3)="","",OFFSET(名称管理器!$B$5,0,ROW()-3))</f>
        <v/>
      </c>
      <c r="V21" s="27">
        <f ca="1" t="shared" si="1"/>
        <v>0</v>
      </c>
      <c r="W21" s="23"/>
    </row>
    <row r="22" spans="1:23">
      <c r="A22" s="13"/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28" t="s">
        <v>82</v>
      </c>
      <c r="R22" s="14"/>
      <c r="T22" s="24">
        <v>19</v>
      </c>
      <c r="U22" s="24" t="str">
        <f ca="1">IF(OFFSET(名称管理器!$B$5,0,ROW()-3)="","",OFFSET(名称管理器!$B$5,0,ROW()-3))</f>
        <v/>
      </c>
      <c r="V22" s="25">
        <f ca="1" t="shared" si="1"/>
        <v>0</v>
      </c>
      <c r="W22" s="24"/>
    </row>
    <row r="23" spans="1:23">
      <c r="A23" s="11"/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26" t="s">
        <v>82</v>
      </c>
      <c r="R23" s="12"/>
      <c r="T23" s="23">
        <v>20</v>
      </c>
      <c r="U23" s="23" t="str">
        <f ca="1">IF(OFFSET(名称管理器!$B$5,0,ROW()-3)="","",OFFSET(名称管理器!$B$5,0,ROW()-3))</f>
        <v/>
      </c>
      <c r="V23" s="27">
        <f ca="1" t="shared" si="1"/>
        <v>0</v>
      </c>
      <c r="W23" s="23"/>
    </row>
    <row r="24" spans="1:23">
      <c r="A24" s="13"/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28" t="s">
        <v>82</v>
      </c>
      <c r="R24" s="14"/>
      <c r="T24" s="24">
        <v>21</v>
      </c>
      <c r="U24" s="24" t="str">
        <f ca="1">IF(OFFSET(名称管理器!$B$5,0,ROW()-3)="","",OFFSET(名称管理器!$B$5,0,ROW()-3))</f>
        <v/>
      </c>
      <c r="V24" s="25">
        <f ca="1" t="shared" si="1"/>
        <v>0</v>
      </c>
      <c r="W24" s="24"/>
    </row>
    <row r="25" spans="1:23">
      <c r="A25" s="11"/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26" t="s">
        <v>82</v>
      </c>
      <c r="R25" s="12"/>
      <c r="T25" s="23">
        <v>22</v>
      </c>
      <c r="U25" s="23" t="str">
        <f ca="1">IF(OFFSET(名称管理器!$B$5,0,ROW()-3)="","",OFFSET(名称管理器!$B$5,0,ROW()-3))</f>
        <v/>
      </c>
      <c r="V25" s="27">
        <f ca="1" t="shared" si="1"/>
        <v>0</v>
      </c>
      <c r="W25" s="23"/>
    </row>
    <row r="26" spans="1:23">
      <c r="A26" s="13"/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28" t="s">
        <v>82</v>
      </c>
      <c r="R26" s="14"/>
      <c r="T26" s="24">
        <v>23</v>
      </c>
      <c r="U26" s="24" t="str">
        <f ca="1">IF(OFFSET(名称管理器!$B$5,0,ROW()-3)="","",OFFSET(名称管理器!$B$5,0,ROW()-3))</f>
        <v/>
      </c>
      <c r="V26" s="25">
        <f ca="1" t="shared" si="1"/>
        <v>0</v>
      </c>
      <c r="W26" s="24"/>
    </row>
    <row r="27" spans="1:23">
      <c r="A27" s="11"/>
      <c r="B27" s="11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26" t="s">
        <v>82</v>
      </c>
      <c r="R27" s="12"/>
      <c r="T27" s="23" t="s">
        <v>81</v>
      </c>
      <c r="U27" s="23" t="str">
        <f ca="1">IF(OFFSET(名称管理器!$B$5,0,ROW()-3)="","",OFFSET(名称管理器!$B$5,0,ROW()-3))</f>
        <v/>
      </c>
      <c r="V27" s="27">
        <f ca="1">SUM(V4:V26)</f>
        <v>0</v>
      </c>
      <c r="W27" s="23"/>
    </row>
    <row r="28" spans="1:21">
      <c r="A28" s="13"/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28" t="s">
        <v>82</v>
      </c>
      <c r="R28" s="14"/>
      <c r="U28" s="29" t="str">
        <f ca="1">IF(OFFSET(名称管理器!$B$5,0,ROW()-3)="","",OFFSET(名称管理器!$B$5,0,ROW()-3))</f>
        <v/>
      </c>
    </row>
    <row r="29" spans="1:21">
      <c r="A29" s="11"/>
      <c r="B29" s="11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26" t="s">
        <v>82</v>
      </c>
      <c r="R29" s="12"/>
      <c r="U29" s="29" t="str">
        <f ca="1">IF(OFFSET(名称管理器!$B$5,0,ROW()-3)="","",OFFSET(名称管理器!$B$5,0,ROW()-3))</f>
        <v/>
      </c>
    </row>
    <row r="30" spans="1:21">
      <c r="A30" s="13"/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28" t="s">
        <v>82</v>
      </c>
      <c r="R30" s="14"/>
      <c r="U30" s="29" t="str">
        <f ca="1">IF(OFFSET(名称管理器!$B$5,0,ROW()-3)="","",OFFSET(名称管理器!$B$5,0,ROW()-3))</f>
        <v/>
      </c>
    </row>
    <row r="31" spans="1:21">
      <c r="A31" s="11"/>
      <c r="B31" s="11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26" t="s">
        <v>82</v>
      </c>
      <c r="R31" s="12"/>
      <c r="U31" s="29" t="str">
        <f ca="1">IF(OFFSET(名称管理器!$B$5,0,ROW()-3)="","",OFFSET(名称管理器!$B$5,0,ROW()-3))</f>
        <v/>
      </c>
    </row>
    <row r="32" spans="1:21">
      <c r="A32" s="13"/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28" t="s">
        <v>82</v>
      </c>
      <c r="R32" s="14"/>
      <c r="U32" s="29" t="str">
        <f ca="1">IF(OFFSET(名称管理器!$B$5,0,ROW()-3)="","",OFFSET(名称管理器!$B$5,0,ROW()-3))</f>
        <v/>
      </c>
    </row>
    <row r="33" spans="1:21">
      <c r="A33" s="11"/>
      <c r="B33" s="11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26" t="s">
        <v>82</v>
      </c>
      <c r="R33" s="12"/>
      <c r="U33" s="29" t="str">
        <f ca="1">IF(OFFSET(名称管理器!$B$5,0,ROW()-3)="","",OFFSET(名称管理器!$B$5,0,ROW()-3))</f>
        <v/>
      </c>
    </row>
    <row r="34" spans="1:21">
      <c r="A34" s="13"/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28" t="s">
        <v>82</v>
      </c>
      <c r="R34" s="14"/>
      <c r="U34" s="29" t="str">
        <f ca="1">IF(OFFSET(名称管理器!$B$5,0,ROW()-3)="","",OFFSET(名称管理器!$B$5,0,ROW()-3))</f>
        <v/>
      </c>
    </row>
    <row r="35" spans="1:21">
      <c r="A35" s="11"/>
      <c r="B35" s="11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26" t="s">
        <v>82</v>
      </c>
      <c r="R35" s="12"/>
      <c r="U35" s="29" t="str">
        <f ca="1">IF(OFFSET(名称管理器!$B$5,0,ROW()-3)="","",OFFSET(名称管理器!$B$5,0,ROW()-3))</f>
        <v/>
      </c>
    </row>
    <row r="36" spans="1:21">
      <c r="A36" s="13"/>
      <c r="B36" s="13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28" t="s">
        <v>82</v>
      </c>
      <c r="R36" s="14"/>
      <c r="U36" s="29" t="str">
        <f ca="1">IF(OFFSET(名称管理器!$B$5,0,ROW()-3)="","",OFFSET(名称管理器!$B$5,0,ROW()-3))</f>
        <v/>
      </c>
    </row>
    <row r="37" spans="1:21">
      <c r="A37" s="11"/>
      <c r="B37" s="11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26" t="s">
        <v>82</v>
      </c>
      <c r="R37" s="12"/>
      <c r="U37" s="29" t="str">
        <f ca="1">IF(OFFSET(名称管理器!$B$5,0,ROW()-3)="","",OFFSET(名称管理器!$B$5,0,ROW()-3))</f>
        <v/>
      </c>
    </row>
    <row r="38" spans="1:21">
      <c r="A38" s="13"/>
      <c r="B38" s="13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28" t="s">
        <v>82</v>
      </c>
      <c r="R38" s="14"/>
      <c r="U38" s="29" t="str">
        <f ca="1">IF(OFFSET(名称管理器!$B$5,0,ROW()-3)="","",OFFSET(名称管理器!$B$5,0,ROW()-3))</f>
        <v/>
      </c>
    </row>
    <row r="39" spans="1:21">
      <c r="A39" s="11"/>
      <c r="B39" s="11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26" t="s">
        <v>82</v>
      </c>
      <c r="R39" s="12"/>
      <c r="U39" s="29" t="str">
        <f ca="1">IF(OFFSET(名称管理器!$B$5,0,ROW()-3)="","",OFFSET(名称管理器!$B$5,0,ROW()-3))</f>
        <v/>
      </c>
    </row>
    <row r="40" spans="1:21">
      <c r="A40" s="13"/>
      <c r="B40" s="13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28" t="s">
        <v>82</v>
      </c>
      <c r="R40" s="14"/>
      <c r="U40" s="29" t="str">
        <f ca="1">IF(OFFSET(名称管理器!$B$5,0,ROW()-3)="","",OFFSET(名称管理器!$B$5,0,ROW()-3))</f>
        <v/>
      </c>
    </row>
    <row r="41" spans="1:21">
      <c r="A41" s="11"/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26" t="s">
        <v>82</v>
      </c>
      <c r="R41" s="12"/>
      <c r="U41" s="29" t="str">
        <f ca="1">IF(OFFSET(名称管理器!$B$5,0,ROW()-3)="","",OFFSET(名称管理器!$B$5,0,ROW()-3))</f>
        <v/>
      </c>
    </row>
    <row r="42" spans="1:21">
      <c r="A42" s="13"/>
      <c r="B42" s="13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28" t="s">
        <v>82</v>
      </c>
      <c r="R42" s="14"/>
      <c r="U42" s="29" t="str">
        <f ca="1">IF(OFFSET(名称管理器!$B$5,0,ROW()-3)="","",OFFSET(名称管理器!$B$5,0,ROW()-3))</f>
        <v/>
      </c>
    </row>
    <row r="43" spans="1:21">
      <c r="A43" s="11"/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26" t="s">
        <v>82</v>
      </c>
      <c r="R43" s="12"/>
      <c r="U43" s="29" t="str">
        <f ca="1">IF(OFFSET(名称管理器!$B$5,0,ROW()-3)="","",OFFSET(名称管理器!$B$5,0,ROW()-3))</f>
        <v/>
      </c>
    </row>
    <row r="44" spans="1:21">
      <c r="A44" s="13"/>
      <c r="B44" s="13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28" t="s">
        <v>82</v>
      </c>
      <c r="R44" s="14"/>
      <c r="U44" s="29" t="str">
        <f ca="1">IF(OFFSET(名称管理器!$B$5,0,ROW()-3)="","",OFFSET(名称管理器!$B$5,0,ROW()-3))</f>
        <v/>
      </c>
    </row>
    <row r="45" spans="1:21">
      <c r="A45" s="11"/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26" t="s">
        <v>82</v>
      </c>
      <c r="R45" s="12"/>
      <c r="U45" s="29" t="str">
        <f ca="1">IF(OFFSET(名称管理器!$B$5,0,ROW()-3)="","",OFFSET(名称管理器!$B$5,0,ROW()-3))</f>
        <v/>
      </c>
    </row>
    <row r="46" spans="1:21">
      <c r="A46" s="13"/>
      <c r="B46" s="13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28" t="s">
        <v>82</v>
      </c>
      <c r="R46" s="14"/>
      <c r="U46" s="29" t="str">
        <f ca="1">IF(OFFSET(名称管理器!$B$5,0,ROW()-3)="","",OFFSET(名称管理器!$B$5,0,ROW()-3))</f>
        <v/>
      </c>
    </row>
    <row r="47" spans="1:21">
      <c r="A47" s="11"/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26" t="s">
        <v>82</v>
      </c>
      <c r="R47" s="12"/>
      <c r="U47" s="29" t="str">
        <f ca="1">IF(OFFSET(名称管理器!$B$5,0,ROW()-3)="","",OFFSET(名称管理器!$B$5,0,ROW()-3))</f>
        <v/>
      </c>
    </row>
    <row r="48" spans="1:21">
      <c r="A48" s="13"/>
      <c r="B48" s="13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28" t="s">
        <v>82</v>
      </c>
      <c r="R48" s="14"/>
      <c r="U48" s="29" t="str">
        <f ca="1">IF(OFFSET(名称管理器!$B$5,0,ROW()-3)="","",OFFSET(名称管理器!$B$5,0,ROW()-3))</f>
        <v/>
      </c>
    </row>
    <row r="49" spans="1:21">
      <c r="A49" s="11"/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26" t="s">
        <v>82</v>
      </c>
      <c r="R49" s="12"/>
      <c r="U49" s="30"/>
    </row>
    <row r="50" spans="1:21">
      <c r="A50" s="13"/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28" t="s">
        <v>82</v>
      </c>
      <c r="R50" s="14"/>
      <c r="U50" s="30"/>
    </row>
    <row r="51" spans="1:21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26" t="s">
        <v>82</v>
      </c>
      <c r="R51" s="12"/>
      <c r="U51" s="30"/>
    </row>
    <row r="52" spans="1:21">
      <c r="A52" s="13"/>
      <c r="B52" s="13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28" t="s">
        <v>82</v>
      </c>
      <c r="R52" s="14"/>
      <c r="U52" s="30"/>
    </row>
    <row r="53" spans="1:21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26" t="s">
        <v>82</v>
      </c>
      <c r="R53" s="12"/>
      <c r="U53" s="30"/>
    </row>
    <row r="54" spans="1:21">
      <c r="A54" s="13"/>
      <c r="B54" s="13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28" t="s">
        <v>82</v>
      </c>
      <c r="R54" s="14"/>
      <c r="U54" s="30"/>
    </row>
    <row r="55" spans="1:21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26" t="s">
        <v>82</v>
      </c>
      <c r="R55" s="12"/>
      <c r="U55" s="30"/>
    </row>
    <row r="56" spans="1:18">
      <c r="A56" s="13"/>
      <c r="B56" s="13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28" t="s">
        <v>82</v>
      </c>
      <c r="R56" s="14"/>
    </row>
    <row r="57" spans="1:18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26" t="s">
        <v>82</v>
      </c>
      <c r="R57" s="12"/>
    </row>
    <row r="58" spans="1:18">
      <c r="A58" s="13"/>
      <c r="B58" s="13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28" t="s">
        <v>82</v>
      </c>
      <c r="R58" s="14"/>
    </row>
    <row r="59" spans="1:18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26" t="s">
        <v>82</v>
      </c>
      <c r="R59" s="12"/>
    </row>
    <row r="60" spans="1:18">
      <c r="A60" s="13"/>
      <c r="B60" s="13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28" t="s">
        <v>82</v>
      </c>
      <c r="R60" s="14"/>
    </row>
    <row r="61" spans="1:18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26" t="s">
        <v>82</v>
      </c>
      <c r="R61" s="12"/>
    </row>
    <row r="62" spans="1:18">
      <c r="A62" s="13"/>
      <c r="B62" s="13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28" t="s">
        <v>82</v>
      </c>
      <c r="R62" s="14"/>
    </row>
    <row r="63" spans="1:18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26" t="s">
        <v>82</v>
      </c>
      <c r="R63" s="12"/>
    </row>
    <row r="64" spans="1:18">
      <c r="A64" s="13"/>
      <c r="B64" s="13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28" t="s">
        <v>82</v>
      </c>
      <c r="R64" s="14"/>
    </row>
    <row r="65" spans="1:18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26" t="s">
        <v>82</v>
      </c>
      <c r="R65" s="12"/>
    </row>
    <row r="66" spans="1:18">
      <c r="A66" s="13"/>
      <c r="B66" s="13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28" t="s">
        <v>82</v>
      </c>
      <c r="R66" s="14"/>
    </row>
    <row r="67" spans="1:18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26" t="s">
        <v>82</v>
      </c>
      <c r="R67" s="12"/>
    </row>
    <row r="68" spans="1:18">
      <c r="A68" s="13"/>
      <c r="B68" s="13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28" t="s">
        <v>82</v>
      </c>
      <c r="R68" s="14"/>
    </row>
    <row r="69" spans="1:18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26" t="s">
        <v>82</v>
      </c>
      <c r="R69" s="12"/>
    </row>
    <row r="70" spans="1:18">
      <c r="A70" s="13"/>
      <c r="B70" s="13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28" t="s">
        <v>82</v>
      </c>
      <c r="R70" s="14"/>
    </row>
    <row r="71" spans="1:18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26" t="s">
        <v>82</v>
      </c>
      <c r="R71" s="12"/>
    </row>
    <row r="72" spans="1:18">
      <c r="A72" s="13"/>
      <c r="B72" s="13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28" t="s">
        <v>82</v>
      </c>
      <c r="R72" s="14"/>
    </row>
    <row r="73" spans="1:18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26" t="s">
        <v>82</v>
      </c>
      <c r="R73" s="12"/>
    </row>
    <row r="74" spans="1:18">
      <c r="A74" s="13"/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28" t="s">
        <v>82</v>
      </c>
      <c r="R74" s="14"/>
    </row>
    <row r="75" spans="1:18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26" t="s">
        <v>82</v>
      </c>
      <c r="R75" s="12"/>
    </row>
    <row r="76" spans="1:18">
      <c r="A76" s="13"/>
      <c r="B76" s="13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28" t="s">
        <v>82</v>
      </c>
      <c r="R76" s="14"/>
    </row>
    <row r="77" spans="1:18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26" t="s">
        <v>82</v>
      </c>
      <c r="R77" s="12"/>
    </row>
    <row r="78" spans="1:18">
      <c r="A78" s="13"/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28" t="s">
        <v>82</v>
      </c>
      <c r="R78" s="14"/>
    </row>
    <row r="79" spans="1:18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26" t="s">
        <v>82</v>
      </c>
      <c r="R79" s="12"/>
    </row>
    <row r="80" spans="1:18">
      <c r="A80" s="13"/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28" t="s">
        <v>82</v>
      </c>
      <c r="R80" s="14"/>
    </row>
    <row r="81" spans="1:18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26" t="s">
        <v>82</v>
      </c>
      <c r="R81" s="12"/>
    </row>
    <row r="82" spans="1:18">
      <c r="A82" s="13"/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28" t="s">
        <v>82</v>
      </c>
      <c r="R82" s="14"/>
    </row>
    <row r="83" spans="1:18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26" t="s">
        <v>82</v>
      </c>
      <c r="R83" s="12"/>
    </row>
    <row r="84" spans="1:18">
      <c r="A84" s="13"/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28" t="s">
        <v>82</v>
      </c>
      <c r="R84" s="14"/>
    </row>
    <row r="85" spans="1:18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26" t="s">
        <v>82</v>
      </c>
      <c r="R85" s="12"/>
    </row>
    <row r="86" spans="1:18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28" t="s">
        <v>82</v>
      </c>
      <c r="R86" s="14"/>
    </row>
    <row r="87" spans="1:18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26" t="s">
        <v>82</v>
      </c>
      <c r="R87" s="12"/>
    </row>
    <row r="88" spans="1:18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28" t="s">
        <v>82</v>
      </c>
      <c r="R88" s="14"/>
    </row>
    <row r="89" spans="1:18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26" t="s">
        <v>82</v>
      </c>
      <c r="R89" s="12"/>
    </row>
    <row r="90" spans="1:18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28" t="s">
        <v>82</v>
      </c>
      <c r="R90" s="14"/>
    </row>
    <row r="91" spans="1:18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26" t="s">
        <v>82</v>
      </c>
      <c r="R91" s="12"/>
    </row>
    <row r="92" spans="1:18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28" t="s">
        <v>82</v>
      </c>
      <c r="R92" s="14"/>
    </row>
    <row r="93" spans="1:18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26" t="s">
        <v>82</v>
      </c>
      <c r="R93" s="12"/>
    </row>
    <row r="94" spans="1:18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28" t="s">
        <v>82</v>
      </c>
      <c r="R94" s="14"/>
    </row>
    <row r="95" spans="1:18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26" t="s">
        <v>82</v>
      </c>
      <c r="R95" s="12"/>
    </row>
    <row r="96" spans="1:18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28" t="s">
        <v>82</v>
      </c>
      <c r="R96" s="14"/>
    </row>
    <row r="97" spans="1:18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26" t="s">
        <v>82</v>
      </c>
      <c r="R97" s="12"/>
    </row>
    <row r="98" spans="1:18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28" t="s">
        <v>82</v>
      </c>
      <c r="R98" s="14"/>
    </row>
    <row r="99" spans="1:18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26" t="s">
        <v>82</v>
      </c>
      <c r="R99" s="12"/>
    </row>
    <row r="100" spans="1:18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28" t="s">
        <v>82</v>
      </c>
      <c r="R100" s="14"/>
    </row>
  </sheetData>
  <mergeCells count="7">
    <mergeCell ref="A1:R1"/>
    <mergeCell ref="A2:G2"/>
    <mergeCell ref="H2:J2"/>
    <mergeCell ref="K2:M2"/>
    <mergeCell ref="P2:R2"/>
    <mergeCell ref="T2:W2"/>
    <mergeCell ref="A4:F4"/>
  </mergeCells>
  <dataValidations count="1">
    <dataValidation type="list" allowBlank="1" showInputMessage="1" showErrorMessage="1" sqref="E4:E100">
      <formula1>材料分类</formula1>
    </dataValidation>
  </dataValidations>
  <hyperlinks>
    <hyperlink ref="A1:R1" location="目录!A1" display="工    程   明   细    表"/>
  </hyperlinks>
  <pageMargins left="0.354166666666667" right="0.354166666666667" top="0.75" bottom="0.75" header="0.3" footer="0.3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名称管理器</vt:lpstr>
      <vt:lpstr>目录</vt:lpstr>
      <vt:lpstr>表1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陈利锋</cp:lastModifiedBy>
  <dcterms:created xsi:type="dcterms:W3CDTF">2019-05-29T06:22:00Z</dcterms:created>
  <dcterms:modified xsi:type="dcterms:W3CDTF">2020-01-18T00:11:02Z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